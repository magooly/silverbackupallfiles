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4470D2CD-2249-CD33-4A35-6F278624656F}"/>
  <workbookPr codeName="ThisWorkbook"/>
  <bookViews>
    <workbookView xWindow="1605" yWindow="150" windowWidth="11160" windowHeight="11760" firstSheet="1" activeTab="3"/>
  </bookViews>
  <sheets>
    <sheet name="Sheet2" sheetId="5" r:id="rId1"/>
    <sheet name="Sheet4" sheetId="4" r:id="rId2"/>
    <sheet name="Sheet5" sheetId="7" r:id="rId3"/>
    <sheet name="Sheet1" sheetId="1" r:id="rId4"/>
  </sheets>
  <definedNames>
    <definedName name="ExternalData_1" localSheetId="1" hidden="1">Sheet4!$A$1:$C$7</definedName>
    <definedName name="ExternalData_1" localSheetId="2" hidden="1">Sheet5!$A$1:$E$19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1"/>
  <c r="G11"/>
  <c r="G12"/>
  <c r="G13"/>
  <c r="E2" l="1"/>
  <c r="C2" l="1"/>
  <c r="G18" l="1"/>
  <c r="E5" s="1"/>
  <c r="G9"/>
  <c r="G16" l="1"/>
  <c r="C5" l="1"/>
  <c r="G5" s="1"/>
</calcChain>
</file>

<file path=xl/connections.xml><?xml version="1.0" encoding="utf-8"?>
<connections xmlns="http://schemas.openxmlformats.org/spreadsheetml/2006/main">
  <connection id="1" keepAlive="1" interval="60" name="Query - Table 0" description="Connection to the 'Table 0' query in the workbook." type="5" refreshedVersion="6" background="1" refreshOnLoad="1" saveData="1">
    <dbPr connection="Provider=Microsoft.Mashup.OleDb.1;Data Source=$Workbook$;Location=&quot;Table 0&quot;;Extended Properties=&quot;&quot;" command="SELECT * FROM [Table 0]"/>
  </connection>
  <connection id="2" keepAlive="1" interval="60" name="Query - Table 0 (2)" description="Connection to the 'Table 0 (2)' query in the workbook." type="5" refreshedVersion="6" background="1" saveData="1">
    <dbPr connection="Provider=Microsoft.Mashup.OleDb.1;Data Source=$Workbook$;Location=&quot;Table 0 (2)&quot;;Extended Properties=&quot;&quot;" command="SELECT * FROM [Table 0 (2)]"/>
  </connection>
</connections>
</file>

<file path=xl/sharedStrings.xml><?xml version="1.0" encoding="utf-8"?>
<sst xmlns="http://schemas.openxmlformats.org/spreadsheetml/2006/main" count="161" uniqueCount="103">
  <si>
    <t xml:space="preserve">            Silver + Gold Holding</t>
  </si>
  <si>
    <t>Today Price</t>
  </si>
  <si>
    <t>AUD</t>
  </si>
  <si>
    <t>Value</t>
  </si>
  <si>
    <t>Silver</t>
  </si>
  <si>
    <t>Gold</t>
  </si>
  <si>
    <t>Total</t>
  </si>
  <si>
    <t>Amount</t>
  </si>
  <si>
    <t>Weight</t>
  </si>
  <si>
    <t>What</t>
  </si>
  <si>
    <t xml:space="preserve">oz </t>
  </si>
  <si>
    <t>oz Coin</t>
  </si>
  <si>
    <t>Kg Bar</t>
  </si>
  <si>
    <t>oz Bar</t>
  </si>
  <si>
    <t>Kg Coin</t>
  </si>
  <si>
    <t>Total oz -&gt;</t>
  </si>
  <si>
    <t>oz Gold</t>
  </si>
  <si>
    <t>Silver Spot Price</t>
  </si>
  <si>
    <t>Silver Price Today</t>
  </si>
  <si>
    <t>Change</t>
  </si>
  <si>
    <t>Silver price per ounce</t>
  </si>
  <si>
    <t>Silver price per gram</t>
  </si>
  <si>
    <t>Silver price per kilo</t>
  </si>
  <si>
    <t>Silver price in pennyweight</t>
  </si>
  <si>
    <t>Silver price in tola</t>
  </si>
  <si>
    <t>Silver price in tael (HK)</t>
  </si>
  <si>
    <t>History</t>
  </si>
  <si>
    <t>Product</t>
  </si>
  <si>
    <t>Selling Price (AUD)</t>
  </si>
  <si>
    <t>Buy Back Price (AUD)</t>
  </si>
  <si>
    <t>Column4</t>
  </si>
  <si>
    <t>Column5</t>
  </si>
  <si>
    <t>Gold Bullion Australia</t>
  </si>
  <si>
    <t>Pool Allocated</t>
  </si>
  <si>
    <t>Pool Allocated Gram Gold</t>
  </si>
  <si>
    <t>$86.80</t>
  </si>
  <si>
    <t>$83.74</t>
  </si>
  <si>
    <t>Gold Bars and Ingots</t>
  </si>
  <si>
    <t>GBA 1/2oz Gold Cast 9999</t>
  </si>
  <si>
    <t>$1,382.11</t>
  </si>
  <si>
    <t>$1,302.25</t>
  </si>
  <si>
    <t>GBA 1oz Gold Cast 9999</t>
  </si>
  <si>
    <t>$2,719.22</t>
  </si>
  <si>
    <t>$2,604.49</t>
  </si>
  <si>
    <t>Gold Tael ABC 37.5g</t>
  </si>
  <si>
    <t>$3,304.23</t>
  </si>
  <si>
    <t>$3,140.10</t>
  </si>
  <si>
    <t>GBA 2oz Gold Cast 9999</t>
  </si>
  <si>
    <t>$5,422.14</t>
  </si>
  <si>
    <t>$5,208.97</t>
  </si>
  <si>
    <t>GBA 100g Gold Cast 9999 Delivery delay 7-10 days</t>
  </si>
  <si>
    <t>$8,711.95</t>
  </si>
  <si>
    <t>$8,373.61</t>
  </si>
  <si>
    <t>GBA 5oz Gold Cast 9999</t>
  </si>
  <si>
    <t>$13,517.21</t>
  </si>
  <si>
    <t>$13,021.80</t>
  </si>
  <si>
    <t>GBA 250g Gold Cast 9999</t>
  </si>
  <si>
    <t>$21,701.46</t>
  </si>
  <si>
    <t>$20,934.03</t>
  </si>
  <si>
    <t>GBA 10oz Gold Cast 9999</t>
  </si>
  <si>
    <t>$27,057.15</t>
  </si>
  <si>
    <t>$26,044.86</t>
  </si>
  <si>
    <t>GBA 500g Gold cast 9999</t>
  </si>
  <si>
    <t>$43,385.92</t>
  </si>
  <si>
    <t>$41,868.05</t>
  </si>
  <si>
    <t>GBA 1kg Gold Cast 9999</t>
  </si>
  <si>
    <t>$86,801.84</t>
  </si>
  <si>
    <t>$83,736.10</t>
  </si>
  <si>
    <t>Gold Coin</t>
  </si>
  <si>
    <t>Perth Mint 1/10oz Gold Coin</t>
  </si>
  <si>
    <t>$346.05</t>
  </si>
  <si>
    <t>$260.45</t>
  </si>
  <si>
    <t>Perth Mint 1oz Gold Coin Kangaroo</t>
  </si>
  <si>
    <t>$2,779.08</t>
  </si>
  <si>
    <t>Royal Canadian Maple Leaf 1 oz Gold Coin</t>
  </si>
  <si>
    <t>$2,789.08</t>
  </si>
  <si>
    <t>$86.78</t>
  </si>
  <si>
    <t>$83.72</t>
  </si>
  <si>
    <t>$1,381.85</t>
  </si>
  <si>
    <t>$1,301.99</t>
  </si>
  <si>
    <t>$2,603.99</t>
  </si>
  <si>
    <t>$3,303.60</t>
  </si>
  <si>
    <t>$3,139.49</t>
  </si>
  <si>
    <t>$5,421.11</t>
  </si>
  <si>
    <t>$5,207.97</t>
  </si>
  <si>
    <t>$8,710.28</t>
  </si>
  <si>
    <t>$8,371.99</t>
  </si>
  <si>
    <t>$13,514.62</t>
  </si>
  <si>
    <t>$13,019.28</t>
  </si>
  <si>
    <t>$21,697.30</t>
  </si>
  <si>
    <t>$20,929.98</t>
  </si>
  <si>
    <t>$27,051.96</t>
  </si>
  <si>
    <t>$26,039.82</t>
  </si>
  <si>
    <t>$43,377.59</t>
  </si>
  <si>
    <t>$41,859.95</t>
  </si>
  <si>
    <t>$86,785.18</t>
  </si>
  <si>
    <t>$83,719.90</t>
  </si>
  <si>
    <t>$346.01</t>
  </si>
  <si>
    <t>$260.41</t>
  </si>
  <si>
    <t>$2,778.55</t>
  </si>
  <si>
    <t>$2,603.98</t>
  </si>
  <si>
    <t>$2,788.69</t>
  </si>
  <si>
    <t>$2,604.11</t>
  </si>
</sst>
</file>

<file path=xl/styles.xml><?xml version="1.0" encoding="utf-8"?>
<styleSheet xmlns="http://schemas.openxmlformats.org/spreadsheetml/2006/main">
  <numFmts count="2">
    <numFmt numFmtId="164" formatCode="&quot;$&quot;#,##0.00;[Red]\-&quot;$&quot;#,##0.00"/>
    <numFmt numFmtId="165" formatCode="&quot;$&quot;#,##0.00"/>
  </numFmts>
  <fonts count="8">
    <font>
      <sz val="10"/>
      <name val="Arial"/>
    </font>
    <font>
      <b/>
      <sz val="14"/>
      <color indexed="39"/>
      <name val="Arial"/>
    </font>
    <font>
      <sz val="8"/>
      <name val="Arial"/>
    </font>
    <font>
      <b/>
      <sz val="10"/>
      <color indexed="53"/>
      <name val="Arial"/>
    </font>
    <font>
      <b/>
      <sz val="10"/>
      <color indexed="61"/>
      <name val="Arial"/>
    </font>
    <font>
      <b/>
      <sz val="10"/>
      <name val="Arial"/>
    </font>
    <font>
      <b/>
      <sz val="12"/>
      <name val="Arial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165" fontId="3" fillId="0" borderId="0" xfId="0" applyNumberFormat="1" applyFont="1"/>
    <xf numFmtId="165" fontId="4" fillId="0" borderId="0" xfId="0" applyNumberFormat="1" applyFont="1"/>
    <xf numFmtId="2" fontId="0" fillId="0" borderId="0" xfId="0" applyNumberFormat="1"/>
    <xf numFmtId="0" fontId="5" fillId="0" borderId="0" xfId="0" applyFont="1"/>
    <xf numFmtId="2" fontId="5" fillId="0" borderId="0" xfId="0" applyNumberFormat="1" applyFont="1"/>
    <xf numFmtId="165" fontId="6" fillId="0" borderId="0" xfId="0" applyNumberFormat="1" applyFont="1"/>
    <xf numFmtId="0" fontId="7" fillId="0" borderId="0" xfId="0" applyFont="1"/>
    <xf numFmtId="0" fontId="7" fillId="0" borderId="0" xfId="0" applyFont="1" applyAlignment="1">
      <alignment horizontal="center"/>
    </xf>
    <xf numFmtId="165" fontId="7" fillId="0" borderId="0" xfId="0" applyNumberFormat="1" applyFont="1"/>
    <xf numFmtId="0" fontId="0" fillId="0" borderId="0" xfId="0" applyNumberFormat="1"/>
    <xf numFmtId="165" fontId="0" fillId="0" borderId="0" xfId="0" applyNumberFormat="1"/>
    <xf numFmtId="165" fontId="7" fillId="0" borderId="0" xfId="0" applyNumberFormat="1" applyFont="1" applyAlignment="1">
      <alignment horizontal="center"/>
    </xf>
    <xf numFmtId="164" fontId="0" fillId="0" borderId="0" xfId="0" applyNumberFormat="1"/>
  </cellXfs>
  <cellStyles count="1"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ExternalData_1" refreshOnLoad="1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Silver Spot Price" tableColumnId="1"/>
      <queryTableField id="2" name="Silver Price Today" tableColumnId="2"/>
      <queryTableField id="3" name="Change" tableColumnId="3"/>
    </queryTableFields>
  </queryTableRefresh>
</queryTable>
</file>

<file path=xl/queryTables/queryTable2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6">
    <queryTableFields count="5">
      <queryTableField id="1" name="Product" tableColumnId="1"/>
      <queryTableField id="2" name="Selling Price (AUD)" tableColumnId="2"/>
      <queryTableField id="3" name="Buy Back Price (AUD)" tableColumnId="3"/>
      <queryTableField id="4" name="Column4" tableColumnId="4"/>
      <queryTableField id="5" name="Column5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Table_0__2" displayName="Table_0__2" ref="A1:E19" totalsRowShown="0">
  <autoFilter ref="A1:E19"/>
  <tableColumns count="5">
    <tableColumn id="1" name="Product" dataDxfId="10"/>
    <tableColumn id="2" name="Selling Price (AUD)" dataDxfId="9"/>
    <tableColumn id="3" name="Buy Back Price (AUD)" dataDxfId="8"/>
    <tableColumn id="4" name="Column4" dataDxfId="7"/>
    <tableColumn id="5" name="Column5" dataDxfId="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Table_0" displayName="Table_0" ref="A1:C7" tableType="queryTable" totalsRowShown="0">
  <autoFilter ref="A1:C7"/>
  <tableColumns count="3">
    <tableColumn id="1" uniqueName="1" name="Silver Spot Price" queryTableFieldId="1" dataDxfId="5"/>
    <tableColumn id="2" uniqueName="2" name="Silver Price Today" queryTableFieldId="2"/>
    <tableColumn id="3" uniqueName="3" name="Change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3" name="Table_0__3" displayName="Table_0__3" ref="A1:E19" tableType="queryTable" totalsRowShown="0">
  <autoFilter ref="A1:E19"/>
  <tableColumns count="5">
    <tableColumn id="1" uniqueName="1" name="Product" queryTableFieldId="1" dataDxfId="4"/>
    <tableColumn id="2" uniqueName="2" name="Selling Price (AUD)" queryTableFieldId="2" dataDxfId="3"/>
    <tableColumn id="3" uniqueName="3" name="Buy Back Price (AUD)" queryTableFieldId="3" dataDxfId="2"/>
    <tableColumn id="4" uniqueName="4" name="Column4" queryTableFieldId="4" dataDxfId="1"/>
    <tableColumn id="5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E19"/>
  <sheetViews>
    <sheetView workbookViewId="0">
      <selection sqref="A1:E19"/>
    </sheetView>
  </sheetViews>
  <sheetFormatPr defaultRowHeight="12.75"/>
  <cols>
    <col min="1" max="1" width="35.140625" bestFit="1" customWidth="1"/>
    <col min="2" max="2" width="20.85546875" bestFit="1" customWidth="1"/>
    <col min="3" max="3" width="22.85546875" bestFit="1" customWidth="1"/>
    <col min="4" max="5" width="19.140625" bestFit="1" customWidth="1"/>
  </cols>
  <sheetData>
    <row r="1" spans="1:5">
      <c r="A1" t="s">
        <v>27</v>
      </c>
      <c r="B1" t="s">
        <v>28</v>
      </c>
      <c r="C1" t="s">
        <v>29</v>
      </c>
      <c r="D1" t="s">
        <v>30</v>
      </c>
      <c r="E1" t="s">
        <v>31</v>
      </c>
    </row>
    <row r="2" spans="1:5">
      <c r="A2" s="11" t="s">
        <v>32</v>
      </c>
      <c r="B2" s="11" t="s">
        <v>32</v>
      </c>
      <c r="C2" s="11" t="s">
        <v>32</v>
      </c>
      <c r="D2" s="11" t="s">
        <v>32</v>
      </c>
      <c r="E2" s="11" t="s">
        <v>32</v>
      </c>
    </row>
    <row r="3" spans="1:5">
      <c r="A3" s="11" t="s">
        <v>33</v>
      </c>
      <c r="B3" s="11" t="s">
        <v>33</v>
      </c>
      <c r="C3" s="11" t="s">
        <v>33</v>
      </c>
      <c r="D3" s="11" t="s">
        <v>33</v>
      </c>
      <c r="E3" s="11" t="s">
        <v>33</v>
      </c>
    </row>
    <row r="4" spans="1:5">
      <c r="A4" s="11" t="s">
        <v>34</v>
      </c>
      <c r="B4" s="11" t="s">
        <v>35</v>
      </c>
      <c r="C4" s="11" t="s">
        <v>36</v>
      </c>
      <c r="D4" s="11"/>
      <c r="E4" s="11"/>
    </row>
    <row r="5" spans="1:5">
      <c r="A5" s="11" t="s">
        <v>37</v>
      </c>
      <c r="B5" s="11" t="s">
        <v>37</v>
      </c>
      <c r="C5" s="11" t="s">
        <v>37</v>
      </c>
      <c r="D5" s="11" t="s">
        <v>37</v>
      </c>
      <c r="E5" s="11" t="s">
        <v>37</v>
      </c>
    </row>
    <row r="6" spans="1:5">
      <c r="A6" s="11" t="s">
        <v>38</v>
      </c>
      <c r="B6" s="11" t="s">
        <v>39</v>
      </c>
      <c r="C6" s="11" t="s">
        <v>40</v>
      </c>
      <c r="D6" s="11"/>
      <c r="E6" s="11"/>
    </row>
    <row r="7" spans="1:5">
      <c r="A7" s="11" t="s">
        <v>41</v>
      </c>
      <c r="B7" s="11" t="s">
        <v>42</v>
      </c>
      <c r="C7" s="11" t="s">
        <v>43</v>
      </c>
      <c r="D7" s="11"/>
      <c r="E7" s="11"/>
    </row>
    <row r="8" spans="1:5">
      <c r="A8" s="11" t="s">
        <v>44</v>
      </c>
      <c r="B8" s="11" t="s">
        <v>45</v>
      </c>
      <c r="C8" s="11" t="s">
        <v>46</v>
      </c>
      <c r="D8" s="11"/>
      <c r="E8" s="11"/>
    </row>
    <row r="9" spans="1:5">
      <c r="A9" s="11" t="s">
        <v>47</v>
      </c>
      <c r="B9" s="11" t="s">
        <v>48</v>
      </c>
      <c r="C9" s="11" t="s">
        <v>49</v>
      </c>
      <c r="D9" s="11"/>
      <c r="E9" s="11"/>
    </row>
    <row r="10" spans="1:5">
      <c r="A10" s="11" t="s">
        <v>50</v>
      </c>
      <c r="B10" s="11" t="s">
        <v>51</v>
      </c>
      <c r="C10" s="11" t="s">
        <v>52</v>
      </c>
      <c r="D10" s="11"/>
      <c r="E10" s="11"/>
    </row>
    <row r="11" spans="1:5">
      <c r="A11" s="11" t="s">
        <v>53</v>
      </c>
      <c r="B11" s="11" t="s">
        <v>54</v>
      </c>
      <c r="C11" s="11" t="s">
        <v>55</v>
      </c>
      <c r="D11" s="11"/>
      <c r="E11" s="11"/>
    </row>
    <row r="12" spans="1:5">
      <c r="A12" s="11" t="s">
        <v>56</v>
      </c>
      <c r="B12" s="11" t="s">
        <v>57</v>
      </c>
      <c r="C12" s="11" t="s">
        <v>58</v>
      </c>
      <c r="D12" s="11"/>
      <c r="E12" s="11"/>
    </row>
    <row r="13" spans="1:5">
      <c r="A13" s="11" t="s">
        <v>59</v>
      </c>
      <c r="B13" s="11" t="s">
        <v>60</v>
      </c>
      <c r="C13" s="11" t="s">
        <v>61</v>
      </c>
      <c r="D13" s="11"/>
      <c r="E13" s="11"/>
    </row>
    <row r="14" spans="1:5">
      <c r="A14" s="11" t="s">
        <v>62</v>
      </c>
      <c r="B14" s="11" t="s">
        <v>63</v>
      </c>
      <c r="C14" s="11" t="s">
        <v>64</v>
      </c>
      <c r="D14" s="11"/>
      <c r="E14" s="11"/>
    </row>
    <row r="15" spans="1:5">
      <c r="A15" s="11" t="s">
        <v>65</v>
      </c>
      <c r="B15" s="11" t="s">
        <v>66</v>
      </c>
      <c r="C15" s="11" t="s">
        <v>67</v>
      </c>
      <c r="D15" s="11"/>
      <c r="E15" s="11"/>
    </row>
    <row r="16" spans="1:5">
      <c r="A16" s="11" t="s">
        <v>68</v>
      </c>
      <c r="B16" s="11" t="s">
        <v>68</v>
      </c>
      <c r="C16" s="11" t="s">
        <v>68</v>
      </c>
      <c r="D16" s="11" t="s">
        <v>68</v>
      </c>
      <c r="E16" s="11" t="s">
        <v>68</v>
      </c>
    </row>
    <row r="17" spans="1:5">
      <c r="A17" s="11" t="s">
        <v>69</v>
      </c>
      <c r="B17" s="11" t="s">
        <v>70</v>
      </c>
      <c r="C17" s="11" t="s">
        <v>71</v>
      </c>
      <c r="D17" s="11"/>
      <c r="E17" s="11"/>
    </row>
    <row r="18" spans="1:5">
      <c r="A18" s="11" t="s">
        <v>72</v>
      </c>
      <c r="B18" s="11" t="s">
        <v>73</v>
      </c>
      <c r="C18" s="11" t="s">
        <v>43</v>
      </c>
      <c r="D18" s="11"/>
      <c r="E18" s="11"/>
    </row>
    <row r="19" spans="1:5">
      <c r="A19" s="11" t="s">
        <v>74</v>
      </c>
      <c r="B19" s="11" t="s">
        <v>75</v>
      </c>
      <c r="C19" s="11" t="s">
        <v>43</v>
      </c>
      <c r="D19" s="11"/>
      <c r="E19" s="1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7"/>
  <sheetViews>
    <sheetView workbookViewId="0">
      <selection activeCell="B28" sqref="B28"/>
    </sheetView>
  </sheetViews>
  <sheetFormatPr defaultRowHeight="12.75"/>
  <cols>
    <col min="1" max="1" width="23.28515625" bestFit="1" customWidth="1"/>
    <col min="2" max="2" width="20.28515625" bestFit="1" customWidth="1"/>
    <col min="3" max="3" width="10.28515625" bestFit="1" customWidth="1"/>
  </cols>
  <sheetData>
    <row r="1" spans="1:3">
      <c r="A1" t="s">
        <v>17</v>
      </c>
      <c r="B1" t="s">
        <v>18</v>
      </c>
      <c r="C1" t="s">
        <v>19</v>
      </c>
    </row>
    <row r="2" spans="1:3">
      <c r="A2" s="11" t="s">
        <v>20</v>
      </c>
      <c r="B2">
        <v>33.74</v>
      </c>
      <c r="C2">
        <v>-0.13</v>
      </c>
    </row>
    <row r="3" spans="1:3">
      <c r="A3" s="11" t="s">
        <v>21</v>
      </c>
      <c r="B3">
        <v>1.08</v>
      </c>
      <c r="C3">
        <v>0</v>
      </c>
    </row>
    <row r="4" spans="1:3">
      <c r="A4" s="11" t="s">
        <v>22</v>
      </c>
      <c r="B4">
        <v>1084.77</v>
      </c>
      <c r="C4">
        <v>-4.1500000000000004</v>
      </c>
    </row>
    <row r="5" spans="1:3">
      <c r="A5" s="11" t="s">
        <v>23</v>
      </c>
      <c r="B5">
        <v>1.69</v>
      </c>
      <c r="C5">
        <v>-0.01</v>
      </c>
    </row>
    <row r="6" spans="1:3">
      <c r="A6" s="11" t="s">
        <v>24</v>
      </c>
      <c r="B6">
        <v>12.65</v>
      </c>
      <c r="C6">
        <v>-0.05</v>
      </c>
    </row>
    <row r="7" spans="1:3">
      <c r="A7" s="11" t="s">
        <v>25</v>
      </c>
      <c r="B7">
        <v>41</v>
      </c>
      <c r="C7">
        <v>-0.16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E19"/>
  <sheetViews>
    <sheetView workbookViewId="0">
      <selection activeCell="B31" sqref="B31"/>
    </sheetView>
  </sheetViews>
  <sheetFormatPr defaultRowHeight="12.75"/>
  <cols>
    <col min="1" max="1" width="44.85546875" bestFit="1" customWidth="1"/>
    <col min="2" max="2" width="20.85546875" bestFit="1" customWidth="1"/>
    <col min="3" max="3" width="22.85546875" bestFit="1" customWidth="1"/>
    <col min="4" max="5" width="19.140625" bestFit="1" customWidth="1"/>
  </cols>
  <sheetData>
    <row r="1" spans="1:5">
      <c r="A1" t="s">
        <v>27</v>
      </c>
      <c r="B1" t="s">
        <v>28</v>
      </c>
      <c r="C1" t="s">
        <v>29</v>
      </c>
      <c r="D1" t="s">
        <v>30</v>
      </c>
      <c r="E1" t="s">
        <v>31</v>
      </c>
    </row>
    <row r="2" spans="1:5">
      <c r="A2" s="11" t="s">
        <v>32</v>
      </c>
      <c r="B2" s="11" t="s">
        <v>32</v>
      </c>
      <c r="C2" s="11" t="s">
        <v>32</v>
      </c>
      <c r="D2" s="11" t="s">
        <v>32</v>
      </c>
      <c r="E2" s="11" t="s">
        <v>32</v>
      </c>
    </row>
    <row r="3" spans="1:5">
      <c r="A3" s="11" t="s">
        <v>33</v>
      </c>
      <c r="B3" s="11" t="s">
        <v>33</v>
      </c>
      <c r="C3" s="11" t="s">
        <v>33</v>
      </c>
      <c r="D3" s="11" t="s">
        <v>33</v>
      </c>
      <c r="E3" s="11" t="s">
        <v>33</v>
      </c>
    </row>
    <row r="4" spans="1:5">
      <c r="A4" s="11" t="s">
        <v>34</v>
      </c>
      <c r="B4" s="11" t="s">
        <v>76</v>
      </c>
      <c r="C4" s="11" t="s">
        <v>77</v>
      </c>
      <c r="D4" s="11"/>
      <c r="E4" s="11"/>
    </row>
    <row r="5" spans="1:5">
      <c r="A5" s="11" t="s">
        <v>37</v>
      </c>
      <c r="B5" s="11" t="s">
        <v>37</v>
      </c>
      <c r="C5" s="11" t="s">
        <v>37</v>
      </c>
      <c r="D5" s="11" t="s">
        <v>37</v>
      </c>
      <c r="E5" s="11" t="s">
        <v>37</v>
      </c>
    </row>
    <row r="6" spans="1:5">
      <c r="A6" s="11" t="s">
        <v>38</v>
      </c>
      <c r="B6" s="11" t="s">
        <v>78</v>
      </c>
      <c r="C6" s="11" t="s">
        <v>79</v>
      </c>
      <c r="D6" s="11"/>
      <c r="E6" s="11"/>
    </row>
    <row r="7" spans="1:5">
      <c r="A7" s="11" t="s">
        <v>41</v>
      </c>
      <c r="B7" s="14">
        <v>2718.72</v>
      </c>
      <c r="C7" s="11" t="s">
        <v>80</v>
      </c>
      <c r="D7" s="11"/>
      <c r="E7" s="11"/>
    </row>
    <row r="8" spans="1:5">
      <c r="A8" s="11" t="s">
        <v>44</v>
      </c>
      <c r="B8" s="11" t="s">
        <v>81</v>
      </c>
      <c r="C8" s="11" t="s">
        <v>82</v>
      </c>
      <c r="D8" s="11"/>
      <c r="E8" s="11"/>
    </row>
    <row r="9" spans="1:5">
      <c r="A9" s="11" t="s">
        <v>47</v>
      </c>
      <c r="B9" s="11" t="s">
        <v>83</v>
      </c>
      <c r="C9" s="11" t="s">
        <v>84</v>
      </c>
      <c r="D9" s="11"/>
      <c r="E9" s="11"/>
    </row>
    <row r="10" spans="1:5">
      <c r="A10" s="11" t="s">
        <v>50</v>
      </c>
      <c r="B10" s="11" t="s">
        <v>85</v>
      </c>
      <c r="C10" s="11" t="s">
        <v>86</v>
      </c>
      <c r="D10" s="11"/>
      <c r="E10" s="11"/>
    </row>
    <row r="11" spans="1:5">
      <c r="A11" s="11" t="s">
        <v>53</v>
      </c>
      <c r="B11" s="11" t="s">
        <v>87</v>
      </c>
      <c r="C11" s="11" t="s">
        <v>88</v>
      </c>
      <c r="D11" s="11"/>
      <c r="E11" s="11"/>
    </row>
    <row r="12" spans="1:5">
      <c r="A12" s="11" t="s">
        <v>56</v>
      </c>
      <c r="B12" s="11" t="s">
        <v>89</v>
      </c>
      <c r="C12" s="11" t="s">
        <v>90</v>
      </c>
      <c r="D12" s="11"/>
      <c r="E12" s="11"/>
    </row>
    <row r="13" spans="1:5">
      <c r="A13" s="11" t="s">
        <v>59</v>
      </c>
      <c r="B13" s="11" t="s">
        <v>91</v>
      </c>
      <c r="C13" s="11" t="s">
        <v>92</v>
      </c>
      <c r="D13" s="11"/>
      <c r="E13" s="11"/>
    </row>
    <row r="14" spans="1:5">
      <c r="A14" s="11" t="s">
        <v>62</v>
      </c>
      <c r="B14" s="11" t="s">
        <v>93</v>
      </c>
      <c r="C14" s="11" t="s">
        <v>94</v>
      </c>
      <c r="D14" s="11"/>
      <c r="E14" s="11"/>
    </row>
    <row r="15" spans="1:5">
      <c r="A15" s="11" t="s">
        <v>65</v>
      </c>
      <c r="B15" s="11" t="s">
        <v>95</v>
      </c>
      <c r="C15" s="11" t="s">
        <v>96</v>
      </c>
      <c r="D15" s="11"/>
      <c r="E15" s="11"/>
    </row>
    <row r="16" spans="1:5">
      <c r="A16" s="11" t="s">
        <v>68</v>
      </c>
      <c r="B16" s="11" t="s">
        <v>68</v>
      </c>
      <c r="C16" s="11" t="s">
        <v>68</v>
      </c>
      <c r="D16" s="11" t="s">
        <v>68</v>
      </c>
      <c r="E16" s="11" t="s">
        <v>68</v>
      </c>
    </row>
    <row r="17" spans="1:5">
      <c r="A17" s="11" t="s">
        <v>69</v>
      </c>
      <c r="B17" s="11" t="s">
        <v>97</v>
      </c>
      <c r="C17" s="11" t="s">
        <v>98</v>
      </c>
      <c r="D17" s="11"/>
      <c r="E17" s="11"/>
    </row>
    <row r="18" spans="1:5">
      <c r="A18" s="11" t="s">
        <v>72</v>
      </c>
      <c r="B18" s="11" t="s">
        <v>99</v>
      </c>
      <c r="C18" s="11" t="s">
        <v>100</v>
      </c>
      <c r="D18" s="11"/>
      <c r="E18" s="11"/>
    </row>
    <row r="19" spans="1:5">
      <c r="A19" s="11" t="s">
        <v>74</v>
      </c>
      <c r="B19" s="11" t="s">
        <v>101</v>
      </c>
      <c r="C19" s="11" t="s">
        <v>102</v>
      </c>
      <c r="D19" s="11"/>
      <c r="E19" s="1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I25"/>
  <sheetViews>
    <sheetView tabSelected="1" workbookViewId="0">
      <selection activeCell="I9" sqref="I9"/>
    </sheetView>
  </sheetViews>
  <sheetFormatPr defaultRowHeight="12.75"/>
  <cols>
    <col min="1" max="1" width="12.85546875" customWidth="1"/>
    <col min="2" max="2" width="1.140625" customWidth="1"/>
    <col min="3" max="3" width="11.7109375" customWidth="1"/>
    <col min="4" max="4" width="1.7109375" customWidth="1"/>
    <col min="5" max="5" width="11.5703125" customWidth="1"/>
    <col min="6" max="6" width="1.140625" customWidth="1"/>
    <col min="7" max="7" width="14.5703125" customWidth="1"/>
    <col min="9" max="9" width="10.140625" style="12" bestFit="1" customWidth="1"/>
    <col min="10" max="10" width="9.140625" customWidth="1"/>
    <col min="11" max="11" width="8.5703125" customWidth="1"/>
    <col min="12" max="12" width="7" customWidth="1"/>
    <col min="14" max="14" width="6.85546875" customWidth="1"/>
  </cols>
  <sheetData>
    <row r="1" spans="1:9" ht="18">
      <c r="A1" s="1" t="s">
        <v>0</v>
      </c>
    </row>
    <row r="2" spans="1:9">
      <c r="A2" s="8" t="s">
        <v>1</v>
      </c>
      <c r="B2" s="8"/>
      <c r="C2" s="10">
        <f>Table_0[[#This Row],[Silver Price Today]]</f>
        <v>33.74</v>
      </c>
      <c r="D2" s="10"/>
      <c r="E2" s="10" t="str">
        <f>Sheet5!C7</f>
        <v>$2,603.99</v>
      </c>
      <c r="F2" s="8"/>
      <c r="G2" s="8" t="s">
        <v>2</v>
      </c>
    </row>
    <row r="4" spans="1:9">
      <c r="A4" s="9" t="s">
        <v>3</v>
      </c>
      <c r="B4" s="9"/>
      <c r="C4" s="9" t="s">
        <v>4</v>
      </c>
      <c r="D4" s="9"/>
      <c r="E4" s="9" t="s">
        <v>5</v>
      </c>
      <c r="F4" s="9"/>
      <c r="G4" s="9" t="s">
        <v>6</v>
      </c>
      <c r="I4" s="13" t="s">
        <v>26</v>
      </c>
    </row>
    <row r="5" spans="1:9" ht="15.75">
      <c r="C5" s="2">
        <f>G16*C2</f>
        <v>15520.858219566002</v>
      </c>
      <c r="E5" s="3">
        <f>E2*G18</f>
        <v>2603.9899999999998</v>
      </c>
      <c r="G5" s="7">
        <f>E5+C5</f>
        <v>18124.848219566004</v>
      </c>
      <c r="I5" s="12">
        <v>18124.8482</v>
      </c>
    </row>
    <row r="7" spans="1:9">
      <c r="A7" s="9" t="s">
        <v>7</v>
      </c>
      <c r="B7" s="9"/>
      <c r="C7" s="9" t="s">
        <v>8</v>
      </c>
      <c r="D7" s="9"/>
      <c r="E7" s="9" t="s">
        <v>9</v>
      </c>
      <c r="F7" s="9"/>
      <c r="G7" s="9" t="s">
        <v>10</v>
      </c>
    </row>
    <row r="9" spans="1:9">
      <c r="A9">
        <v>7</v>
      </c>
      <c r="C9">
        <v>1</v>
      </c>
      <c r="E9" t="s">
        <v>11</v>
      </c>
      <c r="G9">
        <f>C9*A9</f>
        <v>7</v>
      </c>
    </row>
    <row r="10" spans="1:9">
      <c r="A10">
        <v>7</v>
      </c>
      <c r="C10">
        <v>1</v>
      </c>
      <c r="E10" t="s">
        <v>12</v>
      </c>
      <c r="G10" s="4">
        <f>A10*35.2739619</f>
        <v>246.91773330000001</v>
      </c>
    </row>
    <row r="11" spans="1:9">
      <c r="A11">
        <v>6</v>
      </c>
      <c r="C11">
        <v>10</v>
      </c>
      <c r="E11" t="s">
        <v>13</v>
      </c>
      <c r="G11">
        <f>C11*A11</f>
        <v>60</v>
      </c>
    </row>
    <row r="12" spans="1:9">
      <c r="A12">
        <v>1</v>
      </c>
      <c r="C12">
        <v>5</v>
      </c>
      <c r="E12" t="s">
        <v>13</v>
      </c>
      <c r="G12">
        <f>C12*A12</f>
        <v>5</v>
      </c>
    </row>
    <row r="13" spans="1:9">
      <c r="A13">
        <v>4</v>
      </c>
      <c r="C13">
        <v>1</v>
      </c>
      <c r="E13" t="s">
        <v>14</v>
      </c>
      <c r="G13" s="4">
        <f>A13*35.2739619</f>
        <v>141.09584760000001</v>
      </c>
    </row>
    <row r="16" spans="1:9">
      <c r="E16" s="5" t="s">
        <v>15</v>
      </c>
      <c r="F16" s="5"/>
      <c r="G16" s="6">
        <f>SUM(G9:G14)</f>
        <v>460.01358090000002</v>
      </c>
    </row>
    <row r="18" spans="1:7">
      <c r="A18">
        <v>1</v>
      </c>
      <c r="C18">
        <v>1</v>
      </c>
      <c r="E18" t="s">
        <v>16</v>
      </c>
      <c r="G18">
        <f>A18</f>
        <v>1</v>
      </c>
    </row>
    <row r="25" spans="1:7">
      <c r="G25">
        <v>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A6603F2-A50E-468C-B3A3-9F99EAA133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Sheet2</vt:lpstr>
      <vt:lpstr>Sheet4</vt:lpstr>
      <vt:lpstr>Sheet5</vt:lpstr>
      <vt:lpstr>Sheet1</vt:lpstr>
    </vt:vector>
  </TitlesOfParts>
  <Manager/>
  <Company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Walt</dc:creator>
  <cp:keywords/>
  <dc:description/>
  <cp:lastModifiedBy>AKASH</cp:lastModifiedBy>
  <cp:revision/>
  <dcterms:created xsi:type="dcterms:W3CDTF">2020-09-13T04:52:30Z</dcterms:created>
  <dcterms:modified xsi:type="dcterms:W3CDTF">2020-10-12T01:28:54Z</dcterms:modified>
  <cp:category/>
  <cp:contentStatus/>
</cp:coreProperties>
</file>